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le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Reference: cassimbo_strategic_concepts.md, reference pass 1 (terrain shaped, no bunkers built — every hazard tag/note here is a proposal, not built fact). Flag: that document's header states "7,009 yards, Red tees" but the actual in-game Red total is 6,233 (Green 6,609 / White 6,905 / Blue 7,155) — none of the four tees match 7,009. Likely an earlier draft figure; treat the doc's yardage header as unreliable and use this sheet's numbers, which are read directly off the scorecard.</t>
        </r>
      </text>
    </comment>
  </commentList>
</comments>
</file>

<file path=xl/sharedStrings.xml><?xml version="1.0" encoding="utf-8"?>
<sst xmlns="http://schemas.openxmlformats.org/spreadsheetml/2006/main" count="73" uniqueCount="40">
  <si>
    <t xml:space="preserve">CASSIMBO</t>
  </si>
  <si>
    <t xml:space="preserve">Arid plateau headland · Angola coast (fictional) · Par 72 (36-36)</t>
  </si>
  <si>
    <t xml:space="preserve">LOCKED orientation: Ocean &amp; cacimbo fog = WEST  |  Prevailing wind = SOUTHWEST (onshore, same system as the fog)  |  Afternoon sun low in the WEST  |  Hole 1 confirmed ~184° (due south)  |  Tees in-game order, shortest to longest: Red / Green / White / Blue (tournament)  |  Bearings in whole degrees, 0-359, clockwise from true North  |  Hazard tags: Bunker, Gorse/Rough, Water, OB, Dune/Waste, Trees, Other</t>
  </si>
  <si>
    <t xml:space="preserve">Hole</t>
  </si>
  <si>
    <t xml:space="preserve">Par</t>
  </si>
  <si>
    <t xml:space="preserve">Red (yds)</t>
  </si>
  <si>
    <t xml:space="preserve">Green (yds)</t>
  </si>
  <si>
    <t xml:space="preserve">White (yds)</t>
  </si>
  <si>
    <t xml:space="preserve">Blue (yds)</t>
  </si>
  <si>
    <t xml:space="preserve">Tee Bearing (°)</t>
  </si>
  <si>
    <t xml:space="preserve">Approach Bearing (°)</t>
  </si>
  <si>
    <t xml:space="preserve">Hazard Tag 1</t>
  </si>
  <si>
    <t xml:space="preserve">Hazard Tag 2</t>
  </si>
  <si>
    <t xml:space="preserve">Strategic Feature Notes</t>
  </si>
  <si>
    <t xml:space="preserve">Green Contours &amp; Hole Positions</t>
  </si>
  <si>
    <t xml:space="preserve">EX</t>
  </si>
  <si>
    <t xml:space="preserve">Bunker</t>
  </si>
  <si>
    <t xml:space="preserve">Other</t>
  </si>
  <si>
    <t xml:space="preserve">Welcoming opener that still asks a question. Plays due south; ocean/fog/drop-off on the right, quartering headwind off front-right — the exposed right side is also the side that opens the green (risk and reward point the same way). Wide, no forced carry. One irregular bunker short-left as a directional marker, not a penalty. Honest transparency.</t>
  </si>
  <si>
    <t xml:space="preserve">Shortest hole on the course — the green complex is the entire hole. Small, tightly contoured target, wind-exposed, short-grass runoffs falling on three sides. Honest transparency.</t>
  </si>
  <si>
    <t xml:space="preserve">Dune/Waste</t>
  </si>
  <si>
    <t xml:space="preserve">Reachable, gated by a diagonal. Generous tee shot; decision lives on the 2nd shot, where a diagonal hazard crosses the fairway — more carried = shorter/better angle in. Camouflage on the diagonal's far end.</t>
  </si>
  <si>
    <t xml:space="preserve">Angle bought with risk. Rock outcrop or sandy waste splits the driving zone into two lobes — safe lobe is large but leaves a cross-green approach; aggressive lobe is tighter but opens the green fully. Camouflage on the divider's far edge.</t>
  </si>
  <si>
    <t xml:space="preserve">Deliberate contrast to H2 — a running shot, not aerial. Redan-family hole: green angled away, kick-slope short-right feeding balls down-left. Correct play is landing short and letting the ground work. One deep bunker guarding the low receiving end. Camouflage on the kick slope.</t>
  </si>
  <si>
    <t xml:space="preserve">Length is the hazard; ground must be generous. No forced carry, no pinch, open green front for a running approach. Minimal hazards — one bunker well right of the green purely to define the target. Honest transparency. WIND RESOLVED — plays 157°, a quartering headwind (112° off downwind). The preferred downwind/downhill setup did not materialise.</t>
  </si>
  <si>
    <t xml:space="preserve">The "Burma Road" — genuine 3-shotter where the interest is the 3rd shot, not the 2nd. Central spine/ridge splits the fairway so each shot asks which side to be on next; correct side changes with the pin. Alternating single bunkers ~280 &amp; ~450yds define the two-stage decision. Demanding, contoured green does the real defending. Honest tee, camouflage at stage 2. WIND RESOLVED — plays 238°, essentially straight into the prevailing SW wind (167°). A strict three-shotter at 632 from the Blue; forward tees need playtesting.</t>
  </si>
  <si>
    <t xml:space="preserve">Positional finesse — the counterweight to H9. Tighter corridor, cape-style diagonal along a natural edge, small firm green demanding a controlled short iron. Natural edge (outcrop/falloff) as the diagonal; two small pot bunkers tight to the green. Camouflage on the diagonal.</t>
  </si>
  <si>
    <t xml:space="preserve">Brute length played back toward the clubhouse — deliberately the opposite of H8. Apparently uphill, which lengthens it further. Wide ground, open green front, ground-game approach available. Very few hazards — a single large sandy waste well left that frames without punishing. Honest transparency. SEVERITY FLAG — 470yd uphill par 4 closing the front; candidate for forward-tee adjustment or par-5 reclassification if playtesting grinds.</t>
  </si>
  <si>
    <t xml:space="preserve">OUT</t>
  </si>
  <si>
    <t xml:space="preserve">Dramatic but forgiving restart to the back nine — opening on a par 3 is a bold, uncommon choice worth keeping. Because players start cold, make the green gathering (punchbowl/partial punchbowl) rather than repelling. Drama from the elevated tee view, not severity. Honest transparency.</t>
  </si>
  <si>
    <t xml:space="preserve">MacKenzie's central hazard — the purest "no single ideal line" hole on the property. One substantial, irregular central sandy waste/outcrop cluster at ~240-270yds splits the fairway into two genuine routes (left: shorter but blinder approach; right: harder tee shot but opens the green). Green defended by contour, not sand. Fully visible — honest transparency.</t>
  </si>
  <si>
    <t xml:space="preserve">Reachable only downwind, and only by the brave — the longer back-nine par 5. Second shot must negotiate a natural feature (ridge/outcrop/fall) with a safe route around and a direct route over; going over shortens dramatically, around costs a full shot. Camouflage on the direct route's landing area. WIND RESOLVED — plays 260°, quartering to strongly into the prevailing wind (145°). The reachable-only-downwind premise does not hold under prevailing conditions.</t>
  </si>
  <si>
    <t xml:space="preserve">Short, tempting, perched — first of the 13-14 Moderate pair. Green reachable/near-reachable, sited close to the plateau edge so the aggressive line flirts with the falloff. Generous bail-out but leaves an awkward pitch to a green running away. The plateau edge itself is the hazard; one small bunker on the safe side so the bail-out isn't free. Honest transparency — the risk must be plainly visible.</t>
  </si>
  <si>
    <t xml:space="preserve">The pair's counterweight — long and demanding (146yd gap from H13 does most of the differentiation already). Long dogleg: aggressive line hugs an inside hazard to shorten the approach, safe line leaves a genuinely long second. Open green front — no aerial-only approach at this length. Honest transparency.</t>
  </si>
  <si>
    <t xml:space="preserve">A long par 3 (248yds) that must be playable on the ground — total openness is the only way this works: no forced carry, wide entry corridor, large green, short grass all around. Difficulty from target size relative to club in hand and putting a big contoured green, not from carry. Essentially no hazards in front; any bunkers sit well wide of the entry corridor. Honest transparency — no deception at this length. WIND RESOLVED — plays 324°, a true crosswind (81°). The unreachable-into-wind concern is discharged.</t>
  </si>
  <si>
    <t xml:space="preserve">The demanding half of the tightest Moderate pair (16-17, only 60yds spread — needs the most deliberate differentiation). Defined corridor, precise approach, green that must be attacked from a specific angle — round's difficulty peaks here before the finish. Bunkering genuinely constrains the driving zone on one side; green complex has a distinct tier/false section rewarding correct positioning. Camouflage.</t>
  </si>
  <si>
    <t xml:space="preserve">Maximum options at the penultimate hole — shortest par 4 on the course, perfectly sited for a match-turning decision. Drivable for the bold, comfortably two-shotter for everyone else, at least three defensible routes. Green rewards a well-judged layup pitch as generously as a successful drive — laying up isn't conceding. Cluster of small irregular hazards guards the direct line/green front; clean ground on layup routes. The one hole where slightly more bunkering is justified — the hazards ARE the options. Honest transparency — every route legible from the tee.</t>
  </si>
  <si>
    <t xml:space="preserve">Reachable finisher, decision-driven but restrained — reachable in two for strong players with a real penalty for a failed attempt. Runs along the southern cliff rim. Deliberate contrast to a runway-bunker closer: one substantial decision hazard ~100-120yds short of the green creates three distinct second shots (layup short / play safely around / take it on for the green). Green open at front for a running third. Cliff rim as the natural boundary on one side. Honest transparency.</t>
  </si>
  <si>
    <t xml:space="preserve">IN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</si>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</sst>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1D1A"/>
      <name val="Arial"/>
      <family val="0"/>
      <charset val="1"/>
    </font>
    <font>
      <i val="true"/>
      <sz val="10"/>
      <color rgb="FF6B665E"/>
      <name val="Arial"/>
      <family val="0"/>
      <charset val="1"/>
    </font>
    <font>
      <sz val="9"/>
      <color rgb="FF6B665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0"/>
      <color rgb="FF1F1D1A"/>
      <name val="Arial"/>
      <family val="0"/>
      <charset val="1"/>
    </font>
    <font>
      <sz val="10"/>
      <color rgb="FF1F1D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1D1A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1D1A"/>
        <bgColor rgb="FF333300"/>
      </patternFill>
    </fill>
    <fill>
      <patternFill patternType="solid">
        <fgColor rgb="FFF4F1EA"/>
        <bgColor rgb="FFEDEDED"/>
      </patternFill>
    </fill>
    <fill>
      <patternFill patternType="solid">
        <fgColor rgb="FFFFF6E0"/>
        <bgColor rgb="FFF4F1EA"/>
      </patternFill>
    </fill>
    <fill>
      <patternFill patternType="solid">
        <fgColor rgb="FFEDEDED"/>
        <bgColor rgb="FFF4F1EA"/>
      </patternFill>
    </fill>
    <fill>
      <patternFill patternType="solid">
        <fgColor rgb="FFB09766"/>
        <bgColor rgb="FF9999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B09766"/>
      <rgbColor rgb="FF9999FF"/>
      <rgbColor rgb="FF993366"/>
      <rgbColor rgb="FFFFF6E0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1E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65E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F1D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0" ySplit="6" topLeftCell="A7" activePane="bottomLeft" state="frozen"/>
      <selection pane="topLeft" activeCell="A1" activeCellId="0" sqref="A1"/>
      <selection pane="bottomLeft" activeCell="J8" activeCellId="0" sqref="J8"/>
    </sheetView>
  </sheetViews>
  <sheetFormatPr defaultColWidth="8.71484375" defaultRowHeight="15" zeroHeight="false" outlineLevelRow="0" outlineLevelCol="0"/>
  <cols>
    <col collapsed="false" customWidth="true" hidden="false" outlineLevel="0" max="2" min="1" style="1" width="6"/>
    <col collapsed="false" customWidth="true" hidden="false" outlineLevel="0" max="5" min="3" style="1" width="12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9" min="8" style="1" width="14"/>
    <col collapsed="false" customWidth="true" hidden="false" outlineLevel="0" max="10" min="10" style="1" width="13.71"/>
    <col collapsed="false" customWidth="true" hidden="false" outlineLevel="0" max="11" min="11" style="1" width="42"/>
    <col collapsed="false" customWidth="true" hidden="false" outlineLevel="0" max="12" min="12" style="1" width="19.7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30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customFormat="false" ht="31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</row>
    <row r="6" customFormat="false" ht="63.75" hidden="false" customHeight="true" outlineLevel="0" collapsed="false">
      <c r="A6" s="6" t="s">
        <v>15</v>
      </c>
      <c r="B6" s="6"/>
      <c r="C6" s="6"/>
      <c r="D6" s="6"/>
      <c r="E6" s="6"/>
      <c r="F6" s="6"/>
      <c r="G6" s="6"/>
      <c r="H6" s="6"/>
      <c r="I6" s="6"/>
      <c r="J6" s="6"/>
      <c r="K6" s="7"/>
      <c r="L6" s="7"/>
    </row>
    <row r="7" customFormat="false" ht="45" hidden="false" customHeight="true" outlineLevel="0" collapsed="false">
      <c r="A7" s="8" t="n">
        <v>1</v>
      </c>
      <c r="B7" s="9" t="n">
        <v>4</v>
      </c>
      <c r="C7" s="9" t="n">
        <v>360</v>
      </c>
      <c r="D7" s="9" t="n">
        <v>361</v>
      </c>
      <c r="E7" s="9" t="n">
        <v>365</v>
      </c>
      <c r="F7" s="9" t="n">
        <v>374</v>
      </c>
      <c r="G7" s="9" t="n">
        <v>175</v>
      </c>
      <c r="H7" s="9" t="n">
        <v>191</v>
      </c>
      <c r="I7" s="10" t="s">
        <v>16</v>
      </c>
      <c r="J7" s="10" t="s">
        <v>17</v>
      </c>
      <c r="K7" s="10" t="s">
        <v>18</v>
      </c>
      <c r="L7" s="10"/>
    </row>
    <row r="8" customFormat="false" ht="45" hidden="false" customHeight="true" outlineLevel="0" collapsed="false">
      <c r="A8" s="8" t="n">
        <v>2</v>
      </c>
      <c r="B8" s="9" t="n">
        <v>3</v>
      </c>
      <c r="C8" s="9" t="n">
        <v>145</v>
      </c>
      <c r="D8" s="9" t="n">
        <v>146</v>
      </c>
      <c r="E8" s="9" t="n">
        <v>146</v>
      </c>
      <c r="F8" s="9" t="n">
        <v>147</v>
      </c>
      <c r="G8" s="9" t="n">
        <v>183</v>
      </c>
      <c r="H8" s="9" t="n">
        <v>183</v>
      </c>
      <c r="I8" s="10" t="s">
        <v>16</v>
      </c>
      <c r="J8" s="10" t="s">
        <v>17</v>
      </c>
      <c r="K8" s="10" t="s">
        <v>19</v>
      </c>
      <c r="L8" s="10"/>
    </row>
    <row r="9" customFormat="false" ht="45" hidden="false" customHeight="true" outlineLevel="0" collapsed="false">
      <c r="A9" s="8" t="n">
        <v>3</v>
      </c>
      <c r="B9" s="9" t="n">
        <v>5</v>
      </c>
      <c r="C9" s="9" t="n">
        <v>499</v>
      </c>
      <c r="D9" s="9" t="n">
        <v>512</v>
      </c>
      <c r="E9" s="9" t="n">
        <v>531</v>
      </c>
      <c r="F9" s="9" t="n">
        <v>537</v>
      </c>
      <c r="G9" s="9" t="n">
        <v>27</v>
      </c>
      <c r="H9" s="9" t="n">
        <v>10</v>
      </c>
      <c r="I9" s="10" t="s">
        <v>16</v>
      </c>
      <c r="J9" s="10" t="s">
        <v>20</v>
      </c>
      <c r="K9" s="10" t="s">
        <v>21</v>
      </c>
      <c r="L9" s="10"/>
    </row>
    <row r="10" customFormat="false" ht="45" hidden="false" customHeight="true" outlineLevel="0" collapsed="false">
      <c r="A10" s="8" t="n">
        <v>4</v>
      </c>
      <c r="B10" s="9" t="n">
        <v>4</v>
      </c>
      <c r="C10" s="9" t="n">
        <v>348</v>
      </c>
      <c r="D10" s="9" t="n">
        <v>350</v>
      </c>
      <c r="E10" s="9" t="n">
        <v>352</v>
      </c>
      <c r="F10" s="9" t="n">
        <v>356</v>
      </c>
      <c r="G10" s="9" t="n">
        <v>105</v>
      </c>
      <c r="H10" s="9" t="n">
        <v>117</v>
      </c>
      <c r="I10" s="10" t="s">
        <v>17</v>
      </c>
      <c r="J10" s="10" t="s">
        <v>16</v>
      </c>
      <c r="K10" s="10" t="s">
        <v>22</v>
      </c>
      <c r="L10" s="10"/>
    </row>
    <row r="11" customFormat="false" ht="45" hidden="false" customHeight="true" outlineLevel="0" collapsed="false">
      <c r="A11" s="8" t="n">
        <v>5</v>
      </c>
      <c r="B11" s="9" t="n">
        <v>3</v>
      </c>
      <c r="C11" s="9" t="n">
        <v>186</v>
      </c>
      <c r="D11" s="9" t="n">
        <v>198</v>
      </c>
      <c r="E11" s="9" t="n">
        <v>209</v>
      </c>
      <c r="F11" s="9" t="n">
        <v>218</v>
      </c>
      <c r="G11" s="9" t="n">
        <v>240</v>
      </c>
      <c r="H11" s="9" t="n">
        <v>240</v>
      </c>
      <c r="I11" s="10" t="s">
        <v>16</v>
      </c>
      <c r="J11" s="10" t="s">
        <v>17</v>
      </c>
      <c r="K11" s="10" t="s">
        <v>23</v>
      </c>
      <c r="L11" s="10"/>
    </row>
    <row r="12" customFormat="false" ht="45" hidden="false" customHeight="true" outlineLevel="0" collapsed="false">
      <c r="A12" s="8" t="n">
        <v>6</v>
      </c>
      <c r="B12" s="9" t="n">
        <v>4</v>
      </c>
      <c r="C12" s="9" t="n">
        <v>484</v>
      </c>
      <c r="D12" s="9" t="n">
        <v>495</v>
      </c>
      <c r="E12" s="9" t="n">
        <v>505</v>
      </c>
      <c r="F12" s="9" t="n">
        <v>511</v>
      </c>
      <c r="G12" s="9" t="n">
        <v>165</v>
      </c>
      <c r="H12" s="9" t="n">
        <v>149</v>
      </c>
      <c r="I12" s="10" t="s">
        <v>16</v>
      </c>
      <c r="J12" s="10" t="s">
        <v>17</v>
      </c>
      <c r="K12" s="10" t="s">
        <v>24</v>
      </c>
      <c r="L12" s="10"/>
    </row>
    <row r="13" customFormat="false" ht="45" hidden="false" customHeight="true" outlineLevel="0" collapsed="false">
      <c r="A13" s="8" t="n">
        <v>7</v>
      </c>
      <c r="B13" s="9" t="n">
        <v>5</v>
      </c>
      <c r="C13" s="9" t="n">
        <v>471</v>
      </c>
      <c r="D13" s="9" t="n">
        <v>519</v>
      </c>
      <c r="E13" s="9" t="n">
        <v>571</v>
      </c>
      <c r="F13" s="9" t="n">
        <v>632</v>
      </c>
      <c r="G13" s="9" t="n">
        <v>243</v>
      </c>
      <c r="H13" s="9" t="n">
        <v>232</v>
      </c>
      <c r="I13" s="10" t="s">
        <v>16</v>
      </c>
      <c r="J13" s="10" t="s">
        <v>17</v>
      </c>
      <c r="K13" s="10" t="s">
        <v>25</v>
      </c>
      <c r="L13" s="10"/>
    </row>
    <row r="14" customFormat="false" ht="45" hidden="false" customHeight="true" outlineLevel="0" collapsed="false">
      <c r="A14" s="8" t="n">
        <v>8</v>
      </c>
      <c r="B14" s="9" t="n">
        <v>4</v>
      </c>
      <c r="C14" s="9" t="n">
        <v>340</v>
      </c>
      <c r="D14" s="9" t="n">
        <v>360</v>
      </c>
      <c r="E14" s="9" t="n">
        <v>366</v>
      </c>
      <c r="F14" s="9" t="n">
        <v>376</v>
      </c>
      <c r="G14" s="9" t="n">
        <v>2</v>
      </c>
      <c r="H14" s="9" t="n">
        <v>28</v>
      </c>
      <c r="I14" s="10" t="s">
        <v>16</v>
      </c>
      <c r="J14" s="10" t="s">
        <v>17</v>
      </c>
      <c r="K14" s="10" t="s">
        <v>26</v>
      </c>
      <c r="L14" s="10"/>
    </row>
    <row r="15" customFormat="false" ht="45" hidden="false" customHeight="true" outlineLevel="0" collapsed="false">
      <c r="A15" s="8" t="n">
        <v>9</v>
      </c>
      <c r="B15" s="9" t="n">
        <v>4</v>
      </c>
      <c r="C15" s="9" t="n">
        <v>424</v>
      </c>
      <c r="D15" s="9" t="n">
        <v>454</v>
      </c>
      <c r="E15" s="9" t="n">
        <v>467</v>
      </c>
      <c r="F15" s="9" t="n">
        <v>479</v>
      </c>
      <c r="G15" s="9" t="n">
        <v>17</v>
      </c>
      <c r="H15" s="9" t="n">
        <v>349</v>
      </c>
      <c r="I15" s="10" t="s">
        <v>20</v>
      </c>
      <c r="J15" s="10" t="s">
        <v>17</v>
      </c>
      <c r="K15" s="10" t="s">
        <v>27</v>
      </c>
      <c r="L15" s="10"/>
    </row>
    <row r="16" customFormat="false" ht="15" hidden="false" customHeight="true" outlineLevel="0" collapsed="false">
      <c r="A16" s="11" t="s">
        <v>28</v>
      </c>
      <c r="B16" s="12" t="n">
        <f aca="false">SUM(B7:B15)</f>
        <v>36</v>
      </c>
      <c r="C16" s="12" t="n">
        <f aca="false">SUM(C7:C15)</f>
        <v>3257</v>
      </c>
      <c r="D16" s="12" t="n">
        <f aca="false">SUM(D7:D15)</f>
        <v>3395</v>
      </c>
      <c r="E16" s="12" t="n">
        <f aca="false">SUM(E7:E15)</f>
        <v>3512</v>
      </c>
      <c r="F16" s="12" t="n">
        <f aca="false">SUM(F7:F15)</f>
        <v>3630</v>
      </c>
      <c r="G16" s="13"/>
      <c r="H16" s="13"/>
      <c r="I16" s="13"/>
      <c r="J16" s="13"/>
      <c r="K16" s="13"/>
      <c r="L16" s="13"/>
    </row>
    <row r="17" customFormat="false" ht="45" hidden="false" customHeight="true" outlineLevel="0" collapsed="false">
      <c r="A17" s="8" t="n">
        <v>10</v>
      </c>
      <c r="B17" s="9" t="n">
        <v>3</v>
      </c>
      <c r="C17" s="9" t="n">
        <v>129</v>
      </c>
      <c r="D17" s="9" t="n">
        <v>149</v>
      </c>
      <c r="E17" s="9" t="n">
        <v>157</v>
      </c>
      <c r="F17" s="9" t="n">
        <v>164</v>
      </c>
      <c r="G17" s="9" t="n">
        <v>45</v>
      </c>
      <c r="H17" s="9" t="n">
        <v>45</v>
      </c>
      <c r="I17" s="10" t="s">
        <v>16</v>
      </c>
      <c r="J17" s="10" t="s">
        <v>17</v>
      </c>
      <c r="K17" s="10" t="s">
        <v>29</v>
      </c>
      <c r="L17" s="10"/>
    </row>
    <row r="18" customFormat="false" ht="45" hidden="false" customHeight="true" outlineLevel="0" collapsed="false">
      <c r="A18" s="8" t="n">
        <v>11</v>
      </c>
      <c r="B18" s="9" t="n">
        <v>4</v>
      </c>
      <c r="C18" s="9" t="n">
        <v>383</v>
      </c>
      <c r="D18" s="9" t="n">
        <v>388</v>
      </c>
      <c r="E18" s="9" t="n">
        <v>394</v>
      </c>
      <c r="F18" s="9" t="n">
        <v>400</v>
      </c>
      <c r="G18" s="9" t="n">
        <v>87</v>
      </c>
      <c r="H18" s="9" t="n">
        <v>108</v>
      </c>
      <c r="I18" s="10" t="s">
        <v>20</v>
      </c>
      <c r="J18" s="10" t="s">
        <v>17</v>
      </c>
      <c r="K18" s="10" t="s">
        <v>30</v>
      </c>
      <c r="L18" s="10"/>
    </row>
    <row r="19" customFormat="false" ht="45" hidden="false" customHeight="true" outlineLevel="0" collapsed="false">
      <c r="A19" s="8" t="n">
        <v>12</v>
      </c>
      <c r="B19" s="9" t="n">
        <v>5</v>
      </c>
      <c r="C19" s="9" t="n">
        <v>565</v>
      </c>
      <c r="D19" s="9" t="n">
        <v>592</v>
      </c>
      <c r="E19" s="9" t="n">
        <v>605</v>
      </c>
      <c r="F19" s="9" t="n">
        <v>624</v>
      </c>
      <c r="G19" s="9" t="n">
        <v>270</v>
      </c>
      <c r="H19" s="9" t="n">
        <v>250</v>
      </c>
      <c r="I19" s="10" t="s">
        <v>17</v>
      </c>
      <c r="J19" s="10" t="s">
        <v>16</v>
      </c>
      <c r="K19" s="10" t="s">
        <v>31</v>
      </c>
      <c r="L19" s="10"/>
    </row>
    <row r="20" customFormat="false" ht="45" hidden="false" customHeight="true" outlineLevel="0" collapsed="false">
      <c r="A20" s="8" t="n">
        <v>13</v>
      </c>
      <c r="B20" s="9" t="n">
        <v>4</v>
      </c>
      <c r="C20" s="9" t="n">
        <v>295</v>
      </c>
      <c r="D20" s="9" t="n">
        <v>308</v>
      </c>
      <c r="E20" s="9" t="n">
        <v>328</v>
      </c>
      <c r="F20" s="9" t="n">
        <v>348</v>
      </c>
      <c r="G20" s="9" t="n">
        <v>37</v>
      </c>
      <c r="H20" s="9" t="n">
        <v>71</v>
      </c>
      <c r="I20" s="10" t="s">
        <v>17</v>
      </c>
      <c r="J20" s="10" t="s">
        <v>16</v>
      </c>
      <c r="K20" s="10" t="s">
        <v>32</v>
      </c>
      <c r="L20" s="10"/>
    </row>
    <row r="21" customFormat="false" ht="45" hidden="false" customHeight="true" outlineLevel="0" collapsed="false">
      <c r="A21" s="8" t="n">
        <v>14</v>
      </c>
      <c r="B21" s="9" t="n">
        <v>4</v>
      </c>
      <c r="C21" s="9" t="n">
        <v>455</v>
      </c>
      <c r="D21" s="9" t="n">
        <v>461</v>
      </c>
      <c r="E21" s="9" t="n">
        <v>477</v>
      </c>
      <c r="F21" s="9" t="n">
        <v>496</v>
      </c>
      <c r="G21" s="9" t="n">
        <v>72</v>
      </c>
      <c r="H21" s="9" t="n">
        <v>40</v>
      </c>
      <c r="I21" s="10" t="s">
        <v>16</v>
      </c>
      <c r="J21" s="10" t="s">
        <v>17</v>
      </c>
      <c r="K21" s="10" t="s">
        <v>33</v>
      </c>
      <c r="L21" s="10"/>
    </row>
    <row r="22" customFormat="false" ht="45" hidden="false" customHeight="true" outlineLevel="0" collapsed="false">
      <c r="A22" s="8" t="n">
        <v>15</v>
      </c>
      <c r="B22" s="9" t="n">
        <v>3</v>
      </c>
      <c r="C22" s="9" t="n">
        <v>220</v>
      </c>
      <c r="D22" s="9" t="n">
        <v>237</v>
      </c>
      <c r="E22" s="9" t="n">
        <v>246</v>
      </c>
      <c r="F22" s="9" t="n">
        <v>248</v>
      </c>
      <c r="G22" s="9" t="n">
        <v>324</v>
      </c>
      <c r="H22" s="9" t="n">
        <v>324</v>
      </c>
      <c r="I22" s="10" t="s">
        <v>17</v>
      </c>
      <c r="J22" s="10" t="s">
        <v>16</v>
      </c>
      <c r="K22" s="10" t="s">
        <v>34</v>
      </c>
      <c r="L22" s="10"/>
    </row>
    <row r="23" customFormat="false" ht="45" hidden="false" customHeight="true" outlineLevel="0" collapsed="false">
      <c r="A23" s="8" t="n">
        <v>16</v>
      </c>
      <c r="B23" s="9" t="n">
        <v>4</v>
      </c>
      <c r="C23" s="9" t="n">
        <v>365</v>
      </c>
      <c r="D23" s="9" t="n">
        <v>376</v>
      </c>
      <c r="E23" s="9" t="n">
        <v>384</v>
      </c>
      <c r="F23" s="9" t="n">
        <v>392</v>
      </c>
      <c r="G23" s="9" t="n">
        <v>206</v>
      </c>
      <c r="H23" s="9" t="n">
        <v>195</v>
      </c>
      <c r="I23" s="10" t="s">
        <v>16</v>
      </c>
      <c r="J23" s="10" t="s">
        <v>17</v>
      </c>
      <c r="K23" s="10" t="s">
        <v>35</v>
      </c>
      <c r="L23" s="10"/>
    </row>
    <row r="24" customFormat="false" ht="45" hidden="false" customHeight="true" outlineLevel="0" collapsed="false">
      <c r="A24" s="8" t="n">
        <v>17</v>
      </c>
      <c r="B24" s="9" t="n">
        <v>4</v>
      </c>
      <c r="C24" s="9" t="n">
        <v>308</v>
      </c>
      <c r="D24" s="9" t="n">
        <v>324</v>
      </c>
      <c r="E24" s="9" t="n">
        <v>327</v>
      </c>
      <c r="F24" s="9" t="n">
        <v>328</v>
      </c>
      <c r="G24" s="9" t="n">
        <v>340</v>
      </c>
      <c r="H24" s="9" t="n">
        <v>332</v>
      </c>
      <c r="I24" s="10" t="s">
        <v>16</v>
      </c>
      <c r="J24" s="10" t="s">
        <v>17</v>
      </c>
      <c r="K24" s="10" t="s">
        <v>36</v>
      </c>
      <c r="L24" s="10"/>
    </row>
    <row r="25" customFormat="false" ht="45" hidden="false" customHeight="true" outlineLevel="0" collapsed="false">
      <c r="A25" s="8" t="n">
        <v>18</v>
      </c>
      <c r="B25" s="9" t="n">
        <v>5</v>
      </c>
      <c r="C25" s="9" t="n">
        <v>526</v>
      </c>
      <c r="D25" s="9" t="n">
        <v>531</v>
      </c>
      <c r="E25" s="9" t="n">
        <v>544</v>
      </c>
      <c r="F25" s="9" t="n">
        <v>548</v>
      </c>
      <c r="G25" s="9" t="n">
        <v>202</v>
      </c>
      <c r="H25" s="9" t="n">
        <v>169</v>
      </c>
      <c r="I25" s="10" t="s">
        <v>16</v>
      </c>
      <c r="J25" s="10" t="s">
        <v>17</v>
      </c>
      <c r="K25" s="10" t="s">
        <v>37</v>
      </c>
      <c r="L25" s="10"/>
    </row>
    <row r="26" customFormat="false" ht="15" hidden="false" customHeight="true" outlineLevel="0" collapsed="false">
      <c r="A26" s="11" t="s">
        <v>38</v>
      </c>
      <c r="B26" s="12" t="n">
        <f aca="false">SUM(B17:B25)</f>
        <v>36</v>
      </c>
      <c r="C26" s="12" t="n">
        <f aca="false">SUM(C17:C25)</f>
        <v>3246</v>
      </c>
      <c r="D26" s="12" t="n">
        <f aca="false">SUM(D17:D25)</f>
        <v>3366</v>
      </c>
      <c r="E26" s="12" t="n">
        <f aca="false">SUM(E17:E25)</f>
        <v>3462</v>
      </c>
      <c r="F26" s="12" t="n">
        <f aca="false">SUM(F17:F25)</f>
        <v>3548</v>
      </c>
      <c r="G26" s="13"/>
      <c r="H26" s="13"/>
      <c r="I26" s="13"/>
      <c r="J26" s="13"/>
      <c r="K26" s="13"/>
      <c r="L26" s="13"/>
    </row>
    <row r="27" customFormat="false" ht="15" hidden="false" customHeight="true" outlineLevel="0" collapsed="false">
      <c r="A27" s="14" t="s">
        <v>39</v>
      </c>
      <c r="B27" s="15" t="n">
        <f aca="false">B16+B26</f>
        <v>72</v>
      </c>
      <c r="C27" s="15" t="n">
        <f aca="false">C16+C26</f>
        <v>6503</v>
      </c>
      <c r="D27" s="15" t="n">
        <f aca="false">D16+D26</f>
        <v>6761</v>
      </c>
      <c r="E27" s="15" t="n">
        <f aca="false">E16+E26</f>
        <v>6974</v>
      </c>
      <c r="F27" s="15" t="n">
        <f aca="false">F16+F26</f>
        <v>7178</v>
      </c>
      <c r="G27" s="16"/>
      <c r="H27" s="16"/>
      <c r="I27" s="16"/>
      <c r="J27" s="16"/>
      <c r="K27" s="16"/>
      <c r="L27" s="16"/>
    </row>
  </sheetData>
  <mergeCells count="3">
    <mergeCell ref="A1:L1"/>
    <mergeCell ref="A2:L2"/>
    <mergeCell ref="A3:L3"/>
  </mergeCells>
  <dataValidations count="4">
    <dataValidation allowBlank="true" errorStyle="stop" operator="between" showDropDown="false" showErrorMessage="false" showInputMessage="false" sqref="B7:B15 B17:B25" type="list">
      <formula1>"3,4,5"</formula1>
      <formula2>0</formula2>
    </dataValidation>
    <dataValidation allowBlank="true" errorStyle="stop" operator="between" showDropDown="false" showErrorMessage="false" showInputMessage="false" sqref="I7:J15 I17:J25" type="list">
      <formula1>"Bunker,Gorse/Rough,Water,OB,Dune/Waste,Trees,Other"</formula1>
      <formula2>0</formula2>
    </dataValidation>
    <dataValidation allowBlank="true" errorStyle="stop" operator="greaterThanOrEqual" showDropDown="false" showErrorMessage="false" showInputMessage="false" sqref="C7:F15 C17:F25" type="whole">
      <formula1>50</formula1>
      <formula2>0</formula2>
    </dataValidation>
    <dataValidation allowBlank="true" errorStyle="stop" operator="between" showDropDown="false" showErrorMessage="false" showInputMessage="false" sqref="G7:H15 G17:H25" type="whole">
      <formula1>0</formula1>
      <formula2>359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2026-08-27T12:15:57Z</dcterms:created>
  <dc:creator>openpyxl</dc:creator>
  <dc:description/>
  <dc:language>en-US</dc:language>
  <cp:lastModifiedBy>Alex Fleming</cp:lastModifiedBy>
  <dcterms:modified xsi:type="dcterms:W3CDTF">2026-09-28T14:04:21Z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